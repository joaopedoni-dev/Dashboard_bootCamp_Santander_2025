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aop\Desktop\Nova pasta (3)\"/>
    </mc:Choice>
  </mc:AlternateContent>
  <xr:revisionPtr revIDLastSave="0" documentId="13_ncr:1_{B9EB3CEA-4EE6-4C78-8DAA-64C6F19BEFD6}" xr6:coauthVersionLast="47" xr6:coauthVersionMax="47" xr10:uidLastSave="{00000000-0000-0000-0000-000000000000}"/>
  <bookViews>
    <workbookView xWindow="-120" yWindow="-120" windowWidth="29040" windowHeight="15720" tabRatio="43" firstSheet="3" activeTab="3" xr2:uid="{00000000-000D-0000-FFFF-FFFF00000000}"/>
  </bookViews>
  <sheets>
    <sheet name="Uteis" sheetId="2" state="hidden" r:id="rId1"/>
    <sheet name="base" sheetId="1" state="hidden" r:id="rId2"/>
    <sheet name="cálculo" sheetId="3" state="hidden" r:id="rId3"/>
    <sheet name="Dashboard" sheetId="4" r:id="rId4"/>
  </sheets>
  <definedNames>
    <definedName name="_xlnm._FilterDatabase" localSheetId="1" hidden="1">base!$A$1:$C$68</definedName>
    <definedName name="SegmentaçãodeDados_Fornecedor">#N/A</definedName>
  </definedNames>
  <calcPr calcId="191029"/>
  <pivotCaches>
    <pivotCache cacheId="2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27" i="3" l="1"/>
</calcChain>
</file>

<file path=xl/sharedStrings.xml><?xml version="1.0" encoding="utf-8"?>
<sst xmlns="http://schemas.openxmlformats.org/spreadsheetml/2006/main" count="168" uniqueCount="56">
  <si>
    <t>Valor</t>
  </si>
  <si>
    <t>Fornecedor</t>
  </si>
  <si>
    <t>NATÚ</t>
  </si>
  <si>
    <t>02/09/2024</t>
  </si>
  <si>
    <t>26/09/2024</t>
  </si>
  <si>
    <t>09/09/2024</t>
  </si>
  <si>
    <t>PIONEIRO</t>
  </si>
  <si>
    <t>03/09/2024</t>
  </si>
  <si>
    <t>25/09/2024</t>
  </si>
  <si>
    <t>17/09/2024</t>
  </si>
  <si>
    <t>BOLINHA EMBALAGENS</t>
  </si>
  <si>
    <t>10/09/2024</t>
  </si>
  <si>
    <t>MOINHO GLOBO</t>
  </si>
  <si>
    <t>04/09/2024</t>
  </si>
  <si>
    <t>18/09/2024</t>
  </si>
  <si>
    <t>DUSNEI</t>
  </si>
  <si>
    <t>11/09/2024</t>
  </si>
  <si>
    <t>PMI PARKER MIGLIORINI INTERNACIONAL DO BRASIL LTDA</t>
  </si>
  <si>
    <t>DIFAL</t>
  </si>
  <si>
    <t>12/09/2024</t>
  </si>
  <si>
    <t>COCA COLA FEMSA BRASIL</t>
  </si>
  <si>
    <t>LOMBARDI SANTOS &amp; CIA LTDA</t>
  </si>
  <si>
    <t>FRIMESA</t>
  </si>
  <si>
    <t>H.BARROS</t>
  </si>
  <si>
    <t>16/09/2024</t>
  </si>
  <si>
    <t>MOINHO ARA5PONGAS</t>
  </si>
  <si>
    <t>SERLIMP</t>
  </si>
  <si>
    <t>MAPE</t>
  </si>
  <si>
    <t>27/09/2024</t>
  </si>
  <si>
    <t>30/09/2024</t>
  </si>
  <si>
    <t>19/09/2024</t>
  </si>
  <si>
    <t>MAIS MINAS DISTRIBUIDORA</t>
  </si>
  <si>
    <t>23/09/2024</t>
  </si>
  <si>
    <t>PREDILECTA</t>
  </si>
  <si>
    <t>14/09/2024</t>
  </si>
  <si>
    <t>24/09/2024</t>
  </si>
  <si>
    <t>GRANJA RS OGASAWARA</t>
  </si>
  <si>
    <t>JUMBO</t>
  </si>
  <si>
    <t>BRASSER</t>
  </si>
  <si>
    <t>ALFACE E RUCULA</t>
  </si>
  <si>
    <t>Data da Conpra</t>
  </si>
  <si>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</si>
  <si>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</si>
  <si>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</si>
  <si>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</si>
  <si>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</si>
  <si>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</si>
  <si>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</si>
  <si>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</si>
  <si>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</si>
  <si>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ícones</t>
  </si>
  <si>
    <t>Logos</t>
  </si>
  <si>
    <t>Soma de Valor</t>
  </si>
  <si>
    <t>Rótulos de Linha</t>
  </si>
  <si>
    <t>Total Geral</t>
  </si>
  <si>
    <t>Total Gasto por Fornecedor: 01/09/2024 - 30/09/2024 | Update date: 25/09/2024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</si>
</sst>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R$&quot;\ #,##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0.5"/>
      <color theme="0"/>
      <name val="Aptos Narrow"/>
    </font>
  </fonts>
  <fills count="9">
    <fill>
      <patternFill patternType="none"/>
    </fill>
    <fill>
      <patternFill patternType="gray125"/>
    </fill>
    <fill>
      <patternFill patternType="solid">
        <fgColor rgb="FF9BC84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3" fillId="0" borderId="1" applyNumberFormat="0" applyFill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3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0" borderId="0" xfId="0" applyFont="1"/>
    <xf numFmtId="0" fontId="3" fillId="0" borderId="1" xfId="1" applyFont="1"/>
    <xf numFmtId="0" fontId="0" fillId="2" borderId="0" xfId="0" applyFont="1" applyFill="1"/>
    <xf numFmtId="0" fontId="0" fillId="3" borderId="0" xfId="0" applyFont="1" applyFill="1"/>
    <xf numFmtId="0" fontId="0" fillId="4" borderId="0" xfId="0" applyFont="1" applyFill="1"/>
    <xf numFmtId="0" fontId="0" fillId="5" borderId="0" xfId="0" applyFont="1" applyFill="1"/>
    <xf numFmtId="0" fontId="0" fillId="6" borderId="0" xfId="0" applyFont="1" applyFill="1"/>
    <xf numFmtId="0" fontId="0" fillId="7" borderId="0" xfId="0" applyFont="1" applyFill="1"/>
    <xf numFmtId="0" fontId="0" fillId="0" borderId="0" xfId="0" pivotButton="1"/>
    <xf numFmtId="164" fontId="0" fillId="0" borderId="0" xfId="0" applyNumberFormat="1"/>
    <xf numFmtId="0" fontId="0" fillId="0" borderId="0" xfId="0" applyAlignment="1">
      <alignment horizontal="left"/>
    </xf>
    <xf numFmtId="0" fontId="0" fillId="0" borderId="0" xfId="0" applyNumberFormat="1"/>
    <xf numFmtId="0" fontId="0" fillId="8" borderId="0" xfId="0" applyFill="1"/>
    <xf numFmtId="0" fontId="4" fillId="8" borderId="0" xfId="0" applyFont="1" applyFill="1" applyAlignment="1">
      <alignment horizontal="left" vertical="center"/>
    </xf>
  </cellXfs>
  <cellStyles count="2">
    <cellStyle name="Normal" xfId="0" builtinId="0"/>
    <cellStyle name="Título 1" xfId="1" builtinId="16"/>
  </cellStyles>
  <dxfs count="3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00B0F0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00B0F0"/>
        </patternFill>
      </fill>
    </dxf>
  </dxfs>
  <tableStyles count="2" defaultTableStyle="TableStyleMedium2" defaultPivotStyle="PivotStyleLight16">
    <tableStyle name="Estilo de Segmentação de Dados 1" pivot="0" table="0" count="1" xr9:uid="{49F0FA15-33C3-42FE-A84A-46E0BF3AEB30}">
      <tableStyleElement type="wholeTable" dxfId="2"/>
    </tableStyle>
    <tableStyle name="SlicerStyleLight6 2" pivot="0" table="0" count="10" xr9:uid="{8CE426A9-5CBA-4248-9C40-05A08342AF33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[RELATORIO 09.24.xlsx]cálculo!Tabela dinâmica5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cálculo!$B$3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cálculo!$A$4:$A$24</c:f>
              <c:strCache>
                <c:ptCount val="20"/>
                <c:pt idx="0">
                  <c:v>ALFACE E RUCULA</c:v>
                </c:pt>
                <c:pt idx="1">
                  <c:v>BOLINHA EMBALAGENS</c:v>
                </c:pt>
                <c:pt idx="2">
                  <c:v>BRASSER</c:v>
                </c:pt>
                <c:pt idx="3">
                  <c:v>COCA COLA FEMSA BRASIL</c:v>
                </c:pt>
                <c:pt idx="4">
                  <c:v>DIFAL</c:v>
                </c:pt>
                <c:pt idx="5">
                  <c:v>DUSNEI</c:v>
                </c:pt>
                <c:pt idx="6">
                  <c:v>FRIMESA</c:v>
                </c:pt>
                <c:pt idx="7">
                  <c:v>GRANJA RS OGASAWARA</c:v>
                </c:pt>
                <c:pt idx="8">
                  <c:v>H.BARROS</c:v>
                </c:pt>
                <c:pt idx="9">
                  <c:v>JUMBO</c:v>
                </c:pt>
                <c:pt idx="10">
                  <c:v>LOMBARDI SANTOS &amp; CIA LTDA</c:v>
                </c:pt>
                <c:pt idx="11">
                  <c:v>MAIS MINAS DISTRIBUIDORA</c:v>
                </c:pt>
                <c:pt idx="12">
                  <c:v>MAPE</c:v>
                </c:pt>
                <c:pt idx="13">
                  <c:v>MOINHO ARA5PONGAS</c:v>
                </c:pt>
                <c:pt idx="14">
                  <c:v>MOINHO GLOBO</c:v>
                </c:pt>
                <c:pt idx="15">
                  <c:v>NATÚ</c:v>
                </c:pt>
                <c:pt idx="16">
                  <c:v>PIONEIRO</c:v>
                </c:pt>
                <c:pt idx="17">
                  <c:v>PMI PARKER MIGLIORINI INTERNACIONAL DO BRASIL LTDA</c:v>
                </c:pt>
                <c:pt idx="18">
                  <c:v>PREDILECTA</c:v>
                </c:pt>
                <c:pt idx="19">
                  <c:v>SERLIMP</c:v>
                </c:pt>
              </c:strCache>
            </c:strRef>
          </c:cat>
          <c:val>
            <c:numRef>
              <c:f>cálculo!$B$4:$B$24</c:f>
              <c:numCache>
                <c:formatCode>General</c:formatCode>
                <c:ptCount val="20"/>
                <c:pt idx="0">
                  <c:v>125</c:v>
                </c:pt>
                <c:pt idx="1">
                  <c:v>140</c:v>
                </c:pt>
                <c:pt idx="2">
                  <c:v>5693.4</c:v>
                </c:pt>
                <c:pt idx="3">
                  <c:v>4592.2500000000009</c:v>
                </c:pt>
                <c:pt idx="4">
                  <c:v>2327.9299999999998</c:v>
                </c:pt>
                <c:pt idx="5">
                  <c:v>4129.3500000000004</c:v>
                </c:pt>
                <c:pt idx="6">
                  <c:v>1128</c:v>
                </c:pt>
                <c:pt idx="7">
                  <c:v>186</c:v>
                </c:pt>
                <c:pt idx="8">
                  <c:v>520.30999999999995</c:v>
                </c:pt>
                <c:pt idx="9">
                  <c:v>403.17</c:v>
                </c:pt>
                <c:pt idx="10">
                  <c:v>1354.15</c:v>
                </c:pt>
                <c:pt idx="11">
                  <c:v>380.28</c:v>
                </c:pt>
                <c:pt idx="12">
                  <c:v>1332.73</c:v>
                </c:pt>
                <c:pt idx="13">
                  <c:v>346.5</c:v>
                </c:pt>
                <c:pt idx="14">
                  <c:v>503.85</c:v>
                </c:pt>
                <c:pt idx="15">
                  <c:v>1613.51</c:v>
                </c:pt>
                <c:pt idx="16">
                  <c:v>4486</c:v>
                </c:pt>
                <c:pt idx="17">
                  <c:v>6494.21</c:v>
                </c:pt>
                <c:pt idx="18">
                  <c:v>827.04</c:v>
                </c:pt>
                <c:pt idx="19">
                  <c:v>1028.3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D-4DF2-B8FA-C5D7874442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01230000"/>
        <c:axId val="1501232496"/>
      </c:barChart>
      <c:catAx>
        <c:axId val="1501230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232496"/>
        <c:crosses val="autoZero"/>
        <c:auto val="1"/>
        <c:lblAlgn val="ctr"/>
        <c:lblOffset val="100"/>
        <c:noMultiLvlLbl val="0"/>
      </c:catAx>
      <c:valAx>
        <c:axId val="15012324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012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581025</xdr:colOff>
      <xdr:row>13</xdr:row>
      <xdr:rowOff>19050</xdr:rowOff>
    </xdr:from>
    <xdr:to>
      <xdr:col>4</xdr:col>
      <xdr:colOff>285750</xdr:colOff>
      <xdr:row>14</xdr:row>
      <xdr:rowOff>57150</xdr:rowOff>
    </xdr:to>
    <xdr:pic>
      <xdr:nvPicPr>
        <xdr:cNvPr id="2" name="Gráfico 1" descr="Lupa com preenchimento sólido">
          <a:extLst>
            <a:ext uri="{FF2B5EF4-FFF2-40B4-BE49-F238E27FC236}">
              <a16:creationId xmlns:a16="http://schemas.microsoft.com/office/drawing/2014/main" id="{33346B65-0976-4197-A2B4-35D684AD1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15250" y="2543175"/>
          <a:ext cx="314325" cy="228600"/>
        </a:xfrm>
        <a:prstGeom prst="rect">
          <a:avLst/>
        </a:prstGeom>
      </xdr:spPr>
    </xdr:pic>
    <xdr:clientData/>
  </xdr:twoCellAnchor>
  <xdr:twoCellAnchor>
    <xdr:from>
      <xdr:col>1</xdr:col>
      <xdr:colOff>76200</xdr:colOff>
      <xdr:row>12</xdr:row>
      <xdr:rowOff>133350</xdr:rowOff>
    </xdr:from>
    <xdr:to>
      <xdr:col>2</xdr:col>
      <xdr:colOff>161925</xdr:colOff>
      <xdr:row>16</xdr:row>
      <xdr:rowOff>57150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D80BDC7E-6AC9-473C-B7A1-6DA000F3D68F}"/>
            </a:ext>
          </a:extLst>
        </xdr:cNvPr>
        <xdr:cNvSpPr/>
      </xdr:nvSpPr>
      <xdr:spPr>
        <a:xfrm>
          <a:off x="5838825" y="2466975"/>
          <a:ext cx="771525" cy="65722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285750</xdr:colOff>
      <xdr:row>12</xdr:row>
      <xdr:rowOff>142875</xdr:rowOff>
    </xdr:from>
    <xdr:to>
      <xdr:col>3</xdr:col>
      <xdr:colOff>371475</xdr:colOff>
      <xdr:row>16</xdr:row>
      <xdr:rowOff>66675</xdr:rowOff>
    </xdr:to>
    <xdr:sp macro="" textlink="">
      <xdr:nvSpPr>
        <xdr:cNvPr id="4" name="Elipse 3">
          <a:extLst>
            <a:ext uri="{FF2B5EF4-FFF2-40B4-BE49-F238E27FC236}">
              <a16:creationId xmlns:a16="http://schemas.microsoft.com/office/drawing/2014/main" id="{A2CD7401-371C-4AC0-8FBD-067ADDF62FFE}"/>
            </a:ext>
          </a:extLst>
        </xdr:cNvPr>
        <xdr:cNvSpPr/>
      </xdr:nvSpPr>
      <xdr:spPr>
        <a:xfrm>
          <a:off x="6734175" y="2476500"/>
          <a:ext cx="771525" cy="6572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304800</xdr:colOff>
      <xdr:row>6</xdr:row>
      <xdr:rowOff>104775</xdr:rowOff>
    </xdr:to>
    <xdr:sp macro="" textlink="">
      <xdr:nvSpPr>
        <xdr:cNvPr id="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B7E1A805-6C01-452F-A401-7510C36A8244}"/>
            </a:ext>
          </a:extLst>
        </xdr:cNvPr>
        <xdr:cNvSpPr>
          <a:spLocks noChangeAspect="1" noChangeArrowheads="1"/>
        </xdr:cNvSpPr>
      </xdr:nvSpPr>
      <xdr:spPr bwMode="auto">
        <a:xfrm>
          <a:off x="7134225" y="990600"/>
          <a:ext cx="304800" cy="295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219074</xdr:colOff>
      <xdr:row>12</xdr:row>
      <xdr:rowOff>138302</xdr:rowOff>
    </xdr:from>
    <xdr:to>
      <xdr:col>12</xdr:col>
      <xdr:colOff>43271</xdr:colOff>
      <xdr:row>14</xdr:row>
      <xdr:rowOff>180975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A0EA603-5470-4E99-B158-B327AC4D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4874" y="2471927"/>
          <a:ext cx="1652997" cy="433198"/>
        </a:xfrm>
        <a:prstGeom prst="rect">
          <a:avLst/>
        </a:prstGeom>
      </xdr:spPr>
    </xdr:pic>
    <xdr:clientData/>
  </xdr:twoCellAnchor>
  <xdr:twoCellAnchor editAs="oneCell">
    <xdr:from>
      <xdr:col>8</xdr:col>
      <xdr:colOff>561975</xdr:colOff>
      <xdr:row>15</xdr:row>
      <xdr:rowOff>47625</xdr:rowOff>
    </xdr:from>
    <xdr:to>
      <xdr:col>14</xdr:col>
      <xdr:colOff>171450</xdr:colOff>
      <xdr:row>20</xdr:row>
      <xdr:rowOff>69723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E77C55FA-D2C7-4352-A2F8-D3BE3A125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2933700"/>
          <a:ext cx="3267075" cy="974598"/>
        </a:xfrm>
        <a:prstGeom prst="rect">
          <a:avLst/>
        </a:prstGeom>
      </xdr:spPr>
    </xdr:pic>
    <xdr:clientData/>
  </xdr:twoCellAnchor>
  <xdr:twoCellAnchor editAs="oneCell">
    <xdr:from>
      <xdr:col>19</xdr:col>
      <xdr:colOff>581025</xdr:colOff>
      <xdr:row>13</xdr:row>
      <xdr:rowOff>19050</xdr:rowOff>
    </xdr:from>
    <xdr:to>
      <xdr:col>20</xdr:col>
      <xdr:colOff>285750</xdr:colOff>
      <xdr:row>14</xdr:row>
      <xdr:rowOff>57150</xdr:rowOff>
    </xdr:to>
    <xdr:pic>
      <xdr:nvPicPr>
        <xdr:cNvPr id="8" name="Gráfico 7" descr="Lupa com preenchimento sólido">
          <a:extLst>
            <a:ext uri="{FF2B5EF4-FFF2-40B4-BE49-F238E27FC236}">
              <a16:creationId xmlns:a16="http://schemas.microsoft.com/office/drawing/2014/main" id="{BF8F07C9-47A4-4A06-96D3-5219351F9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7715250" y="2543175"/>
          <a:ext cx="314325" cy="228600"/>
        </a:xfrm>
        <a:prstGeom prst="rect">
          <a:avLst/>
        </a:prstGeom>
      </xdr:spPr>
    </xdr:pic>
    <xdr:clientData/>
  </xdr:twoCellAnchor>
  <xdr:twoCellAnchor>
    <xdr:from>
      <xdr:col>17</xdr:col>
      <xdr:colOff>76200</xdr:colOff>
      <xdr:row>12</xdr:row>
      <xdr:rowOff>133350</xdr:rowOff>
    </xdr:from>
    <xdr:to>
      <xdr:col>18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F1E39AF2-899B-4A99-BE6F-5C743626D4FA}"/>
            </a:ext>
          </a:extLst>
        </xdr:cNvPr>
        <xdr:cNvSpPr/>
      </xdr:nvSpPr>
      <xdr:spPr>
        <a:xfrm>
          <a:off x="5838825" y="2466975"/>
          <a:ext cx="771525" cy="657225"/>
        </a:xfrm>
        <a:prstGeom prst="ellipse">
          <a:avLst/>
        </a:prstGeom>
        <a:blipFill>
          <a:blip xmlns:r="http://schemas.openxmlformats.org/officeDocument/2006/relationships" r:embed="rId3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18</xdr:col>
      <xdr:colOff>285750</xdr:colOff>
      <xdr:row>12</xdr:row>
      <xdr:rowOff>142875</xdr:rowOff>
    </xdr:from>
    <xdr:to>
      <xdr:col>19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F1DA22A8-C19F-4239-A892-14E84F9FD9BB}"/>
            </a:ext>
          </a:extLst>
        </xdr:cNvPr>
        <xdr:cNvSpPr/>
      </xdr:nvSpPr>
      <xdr:spPr>
        <a:xfrm>
          <a:off x="6734175" y="2476500"/>
          <a:ext cx="771525" cy="657225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9</xdr:col>
      <xdr:colOff>57150</xdr:colOff>
      <xdr:row>21</xdr:row>
      <xdr:rowOff>180975</xdr:rowOff>
    </xdr:from>
    <xdr:to>
      <xdr:col>11</xdr:col>
      <xdr:colOff>209550</xdr:colOff>
      <xdr:row>28</xdr:row>
      <xdr:rowOff>0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4C36125-6A1A-4B38-A6CB-F858450A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2950" y="4152900"/>
          <a:ext cx="1371600" cy="11525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11206</xdr:colOff>
      <xdr:row>11</xdr:row>
      <xdr:rowOff>89646</xdr:rowOff>
    </xdr:from>
    <xdr:to>
      <xdr:col>10</xdr:col>
      <xdr:colOff>581305</xdr:colOff>
      <xdr:row>39</xdr:row>
      <xdr:rowOff>78440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444A11E8-FD0B-4C10-8368-197353A5EF6D}"/>
            </a:ext>
          </a:extLst>
        </xdr:cNvPr>
        <xdr:cNvGrpSpPr/>
      </xdr:nvGrpSpPr>
      <xdr:grpSpPr>
        <a:xfrm>
          <a:off x="2098423" y="2367363"/>
          <a:ext cx="5746730" cy="5322794"/>
          <a:chOff x="2297206" y="851647"/>
          <a:chExt cx="5691187" cy="5322794"/>
        </a:xfrm>
      </xdr:grpSpPr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E3CAC9C4-E452-4F19-A55D-729B44C63F17}"/>
              </a:ext>
            </a:extLst>
          </xdr:cNvPr>
          <xdr:cNvSpPr/>
        </xdr:nvSpPr>
        <xdr:spPr>
          <a:xfrm>
            <a:off x="2297206" y="851647"/>
            <a:ext cx="5602941" cy="5322794"/>
          </a:xfrm>
          <a:prstGeom prst="round2SameRect">
            <a:avLst>
              <a:gd name="adj1" fmla="val 26351"/>
              <a:gd name="adj2" fmla="val 0"/>
            </a:avLst>
          </a:prstGeom>
          <a:solidFill>
            <a:schemeClr val="bg1"/>
          </a:solidFill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16" name="Gráfico 15">
            <a:extLst>
              <a:ext uri="{FF2B5EF4-FFF2-40B4-BE49-F238E27FC236}">
                <a16:creationId xmlns:a16="http://schemas.microsoft.com/office/drawing/2014/main" id="{5D6F6A56-A15F-464D-B58B-4BE9AFA3C800}"/>
              </a:ext>
            </a:extLst>
          </xdr:cNvPr>
          <xdr:cNvGraphicFramePr>
            <a:graphicFrameLocks/>
          </xdr:cNvGraphicFramePr>
        </xdr:nvGraphicFramePr>
        <xdr:xfrm>
          <a:off x="2577353" y="1297640"/>
          <a:ext cx="5411040" cy="467509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 editAs="absolute">
    <xdr:from>
      <xdr:col>0</xdr:col>
      <xdr:colOff>95529</xdr:colOff>
      <xdr:row>5</xdr:row>
      <xdr:rowOff>134471</xdr:rowOff>
    </xdr:from>
    <xdr:to>
      <xdr:col>0</xdr:col>
      <xdr:colOff>2017058</xdr:colOff>
      <xdr:row>43</xdr:row>
      <xdr:rowOff>78441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7" name="Fornecedor">
              <a:extLst>
                <a:ext uri="{FF2B5EF4-FFF2-40B4-BE49-F238E27FC236}">
                  <a16:creationId xmlns:a16="http://schemas.microsoft.com/office/drawing/2014/main" id="{4A34CFB8-FBF9-40DA-BA88-14F4862ED89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ornec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529" y="1277471"/>
              <a:ext cx="1921529" cy="717468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268941</xdr:colOff>
      <xdr:row>2</xdr:row>
      <xdr:rowOff>33618</xdr:rowOff>
    </xdr:from>
    <xdr:to>
      <xdr:col>10</xdr:col>
      <xdr:colOff>353266</xdr:colOff>
      <xdr:row>11</xdr:row>
      <xdr:rowOff>22344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E7BEC496-CE56-4BBD-96F9-0052614659C4}"/>
            </a:ext>
          </a:extLst>
        </xdr:cNvPr>
        <xdr:cNvGrpSpPr/>
      </xdr:nvGrpSpPr>
      <xdr:grpSpPr>
        <a:xfrm>
          <a:off x="2356158" y="779053"/>
          <a:ext cx="5260956" cy="1521008"/>
          <a:chOff x="2095500" y="1143000"/>
          <a:chExt cx="4655344" cy="1571626"/>
        </a:xfrm>
      </xdr:grpSpPr>
      <xdr:sp macro="" textlink="">
        <xdr:nvSpPr>
          <xdr:cNvPr id="21" name="Retângulo: Cantos Arredondados 20">
            <a:extLst>
              <a:ext uri="{FF2B5EF4-FFF2-40B4-BE49-F238E27FC236}">
                <a16:creationId xmlns:a16="http://schemas.microsoft.com/office/drawing/2014/main" id="{248E7778-C514-43A0-9C4C-5093C645088D}"/>
              </a:ext>
            </a:extLst>
          </xdr:cNvPr>
          <xdr:cNvSpPr/>
        </xdr:nvSpPr>
        <xdr:spPr>
          <a:xfrm>
            <a:off x="2095500" y="1202531"/>
            <a:ext cx="4655344" cy="1512095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álculo!A27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A6D75920-8007-4F51-8F39-4DDFBAF79E0C}"/>
              </a:ext>
            </a:extLst>
          </xdr:cNvPr>
          <xdr:cNvSpPr/>
        </xdr:nvSpPr>
        <xdr:spPr>
          <a:xfrm>
            <a:off x="2145610" y="1709738"/>
            <a:ext cx="4529821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1F786E6D-1A15-4024-A669-63EC22F498F8}" type="TxLink">
              <a:rPr lang="en-US" sz="3600" b="0" i="0" u="none" strike="noStrike" kern="1200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R$ 37.611,98</a:t>
            </a:fld>
            <a:endParaRPr lang="pt-BR" sz="3600" kern="1200">
              <a:solidFill>
                <a:srgbClr val="00B0F0"/>
              </a:solidFill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13BE86A5-E8F9-4528-912E-BB7CDC55C50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00B0F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GASTO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, DO MÉS 09/24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ao paulo" refreshedDate="45986.756042129629" createdVersion="7" refreshedVersion="7" minRefreshableVersion="3" recordCount="67" xr:uid="{36680A92-119A-4EF6-B813-58F155C1213B}">
  <cacheSource type="worksheet">
    <worksheetSource ref="A1:C68" sheet="base"/>
  </cacheSource>
  <cacheFields count="3">
    <cacheField name="Fornecedor" numFmtId="0">
      <sharedItems count="20">
        <s v="ALFACE E RUCULA"/>
        <s v="NATÚ"/>
        <s v="BRASSER"/>
        <s v="GRANJA RS OGASAWARA"/>
        <s v="PIONEIRO"/>
        <s v="DUSNEI"/>
        <s v="DIFAL"/>
        <s v="MAIS MINAS DISTRIBUIDORA"/>
        <s v="SERLIMP"/>
        <s v="H.BARROS"/>
        <s v="LOMBARDI SANTOS &amp; CIA LTDA"/>
        <s v="BOLINHA EMBALAGENS"/>
        <s v="PMI PARKER MIGLIORINI INTERNACIONAL DO BRASIL LTDA"/>
        <s v="FRIMESA"/>
        <s v="PREDILECTA"/>
        <s v="MOINHO ARA5PONGAS"/>
        <s v="MOINHO GLOBO"/>
        <s v="COCA COLA FEMSA BRASIL"/>
        <s v="MAPE"/>
        <s v="JUMBO"/>
      </sharedItems>
    </cacheField>
    <cacheField name="Data da Conpra" numFmtId="0">
      <sharedItems containsDate="1" containsMixedTypes="1" minDate="2024-09-01T00:00:00" maxDate="2024-10-01T00:00:00"/>
    </cacheField>
    <cacheField name="Valor" numFmtId="164">
      <sharedItems containsSemiMixedTypes="0" containsString="0" containsNumber="1" minValue="38.81" maxValue="2577.86" count="59">
        <n v="125"/>
        <n v="501.18"/>
        <n v="620"/>
        <n v="600"/>
        <n v="636.70000000000005"/>
        <n v="310"/>
        <n v="326.7"/>
        <n v="980"/>
        <n v="93"/>
        <n v="894"/>
        <n v="463.75"/>
        <n v="599.6"/>
        <n v="401.96"/>
        <n v="135"/>
        <n v="359.4"/>
        <n v="151.13999999999999"/>
        <n v="462.6"/>
        <n v="140"/>
        <n v="1200"/>
        <n v="280.94"/>
        <n v="654.15"/>
        <n v="565.77"/>
        <n v="152.32"/>
        <n v="780"/>
        <n v="456"/>
        <n v="827.04"/>
        <n v="390"/>
        <n v="335.66"/>
        <n v="313.62"/>
        <n v="309.5"/>
        <n v="891.55"/>
        <n v="757.6"/>
        <n v="553.32000000000005"/>
        <n v="346.5"/>
        <n v="503.85"/>
        <n v="2577.86"/>
        <n v="688.14"/>
        <n v="636"/>
        <n v="714.95"/>
        <n v="424.94"/>
        <n v="452.21"/>
        <n v="568.94000000000005"/>
        <n v="1362.1"/>
        <n v="130.78"/>
        <n v="404.71"/>
        <n v="1124.8900000000001"/>
        <n v="480.72"/>
        <n v="486.67"/>
        <n v="216.85"/>
        <n v="877.53"/>
        <n v="245.28"/>
        <n v="1192"/>
        <n v="1424.58"/>
        <n v="216"/>
        <n v="38.81"/>
        <n v="362.1"/>
        <n v="403.17"/>
        <n v="334.8"/>
        <n v="455.2"/>
      </sharedItems>
    </cacheField>
  </cacheFields>
  <extLst>
    <ext xmlns:x14="http://schemas.microsoft.com/office/spreadsheetml/2009/9/main" uri="{725AE2AE-9491-48be-B2B4-4EB974FC3084}">
      <x14:pivotCacheDefinition pivotCacheId="11277765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x v="0"/>
    <d v="2024-09-01T00:00:00"/>
    <x v="0"/>
  </r>
  <r>
    <x v="1"/>
    <d v="2024-09-09T00:00:00"/>
    <x v="1"/>
  </r>
  <r>
    <x v="2"/>
    <d v="2024-09-01T00:00:00"/>
    <x v="2"/>
  </r>
  <r>
    <x v="2"/>
    <d v="2024-09-06T00:00:00"/>
    <x v="3"/>
  </r>
  <r>
    <x v="2"/>
    <d v="2024-09-14T00:00:00"/>
    <x v="4"/>
  </r>
  <r>
    <x v="2"/>
    <d v="2024-09-17T00:00:00"/>
    <x v="5"/>
  </r>
  <r>
    <x v="2"/>
    <d v="2024-09-20T00:00:00"/>
    <x v="2"/>
  </r>
  <r>
    <x v="2"/>
    <d v="2024-09-24T00:00:00"/>
    <x v="6"/>
  </r>
  <r>
    <x v="2"/>
    <d v="2024-09-26T00:00:00"/>
    <x v="2"/>
  </r>
  <r>
    <x v="2"/>
    <d v="2024-09-29T00:00:00"/>
    <x v="7"/>
  </r>
  <r>
    <x v="2"/>
    <d v="2024-09-29T00:00:00"/>
    <x v="7"/>
  </r>
  <r>
    <x v="3"/>
    <s v="02/09/2024"/>
    <x v="8"/>
  </r>
  <r>
    <x v="4"/>
    <s v="03/09/2024"/>
    <x v="9"/>
  </r>
  <r>
    <x v="5"/>
    <s v="03/09/2024"/>
    <x v="10"/>
  </r>
  <r>
    <x v="6"/>
    <s v="03/09/2024"/>
    <x v="11"/>
  </r>
  <r>
    <x v="6"/>
    <s v="03/09/2024"/>
    <x v="12"/>
  </r>
  <r>
    <x v="7"/>
    <s v="03/09/2024"/>
    <x v="13"/>
  </r>
  <r>
    <x v="8"/>
    <s v="03/09/2024"/>
    <x v="14"/>
  </r>
  <r>
    <x v="9"/>
    <s v="04/09/2024"/>
    <x v="15"/>
  </r>
  <r>
    <x v="10"/>
    <s v="09/09/2024"/>
    <x v="16"/>
  </r>
  <r>
    <x v="11"/>
    <s v="10/09/2024"/>
    <x v="17"/>
  </r>
  <r>
    <x v="4"/>
    <s v="10/09/2024"/>
    <x v="18"/>
  </r>
  <r>
    <x v="5"/>
    <s v="11/09/2024"/>
    <x v="19"/>
  </r>
  <r>
    <x v="12"/>
    <s v="11/09/2024"/>
    <x v="20"/>
  </r>
  <r>
    <x v="6"/>
    <s v="11/09/2024"/>
    <x v="21"/>
  </r>
  <r>
    <x v="9"/>
    <s v="11/09/2024"/>
    <x v="22"/>
  </r>
  <r>
    <x v="5"/>
    <s v="12/09/2024"/>
    <x v="23"/>
  </r>
  <r>
    <x v="13"/>
    <s v="12/09/2024"/>
    <x v="24"/>
  </r>
  <r>
    <x v="14"/>
    <s v="14/09/2024"/>
    <x v="25"/>
  </r>
  <r>
    <x v="5"/>
    <s v="16/09/2024"/>
    <x v="26"/>
  </r>
  <r>
    <x v="6"/>
    <s v="16/09/2024"/>
    <x v="27"/>
  </r>
  <r>
    <x v="1"/>
    <s v="16/09/2024"/>
    <x v="28"/>
  </r>
  <r>
    <x v="8"/>
    <s v="16/09/2024"/>
    <x v="29"/>
  </r>
  <r>
    <x v="4"/>
    <s v="17/09/2024"/>
    <x v="18"/>
  </r>
  <r>
    <x v="10"/>
    <s v="17/09/2024"/>
    <x v="30"/>
  </r>
  <r>
    <x v="5"/>
    <s v="17/09/2024"/>
    <x v="31"/>
  </r>
  <r>
    <x v="5"/>
    <s v="17/09/2024"/>
    <x v="32"/>
  </r>
  <r>
    <x v="15"/>
    <s v="17/09/2024"/>
    <x v="33"/>
  </r>
  <r>
    <x v="16"/>
    <s v="18/09/2024"/>
    <x v="34"/>
  </r>
  <r>
    <x v="12"/>
    <s v="18/09/2024"/>
    <x v="35"/>
  </r>
  <r>
    <x v="17"/>
    <s v="19/09/2024"/>
    <x v="36"/>
  </r>
  <r>
    <x v="12"/>
    <s v="23/09/2024"/>
    <x v="37"/>
  </r>
  <r>
    <x v="12"/>
    <s v="23/09/2024"/>
    <x v="38"/>
  </r>
  <r>
    <x v="6"/>
    <s v="23/09/2024"/>
    <x v="39"/>
  </r>
  <r>
    <x v="1"/>
    <s v="23/09/2024"/>
    <x v="40"/>
  </r>
  <r>
    <x v="8"/>
    <s v="23/09/2024"/>
    <x v="14"/>
  </r>
  <r>
    <x v="3"/>
    <s v="23/09/2024"/>
    <x v="8"/>
  </r>
  <r>
    <x v="5"/>
    <s v="24/09/2024"/>
    <x v="41"/>
  </r>
  <r>
    <x v="17"/>
    <s v="24/09/2024"/>
    <x v="42"/>
  </r>
  <r>
    <x v="17"/>
    <s v="24/09/2024"/>
    <x v="43"/>
  </r>
  <r>
    <x v="17"/>
    <s v="25/09/2024"/>
    <x v="44"/>
  </r>
  <r>
    <x v="17"/>
    <s v="25/09/2024"/>
    <x v="45"/>
  </r>
  <r>
    <x v="17"/>
    <s v="25/09/2024"/>
    <x v="46"/>
  </r>
  <r>
    <x v="12"/>
    <s v="25/09/2024"/>
    <x v="47"/>
  </r>
  <r>
    <x v="9"/>
    <s v="25/09/2024"/>
    <x v="48"/>
  </r>
  <r>
    <x v="18"/>
    <s v="26/09/2024"/>
    <x v="49"/>
  </r>
  <r>
    <x v="13"/>
    <s v="26/09/2024"/>
    <x v="24"/>
  </r>
  <r>
    <x v="7"/>
    <s v="27/09/2024"/>
    <x v="50"/>
  </r>
  <r>
    <x v="4"/>
    <d v="2024-09-29T00:00:00"/>
    <x v="51"/>
  </r>
  <r>
    <x v="12"/>
    <d v="2024-09-29T00:00:00"/>
    <x v="52"/>
  </r>
  <r>
    <x v="13"/>
    <d v="2024-09-29T00:00:00"/>
    <x v="53"/>
  </r>
  <r>
    <x v="17"/>
    <d v="2024-09-30T00:00:00"/>
    <x v="54"/>
  </r>
  <r>
    <x v="17"/>
    <d v="2024-09-25T00:00:00"/>
    <x v="55"/>
  </r>
  <r>
    <x v="19"/>
    <d v="2024-09-30T00:00:00"/>
    <x v="56"/>
  </r>
  <r>
    <x v="5"/>
    <d v="2024-09-27T00:00:00"/>
    <x v="57"/>
  </r>
  <r>
    <x v="18"/>
    <s v="30/09/2024"/>
    <x v="58"/>
  </r>
  <r>
    <x v="1"/>
    <s v="30/09/2024"/>
    <x v="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64B4C-0F82-4723-AD02-90536DDB24F7}" name="Tabela dinâmica5" cacheId="2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">
  <location ref="A3:B24" firstHeaderRow="1" firstDataRow="1" firstDataCol="1"/>
  <pivotFields count="3">
    <pivotField axis="axisRow" showAll="0">
      <items count="21">
        <item x="0"/>
        <item x="11"/>
        <item x="2"/>
        <item x="17"/>
        <item x="6"/>
        <item x="5"/>
        <item x="13"/>
        <item x="3"/>
        <item x="9"/>
        <item x="19"/>
        <item x="10"/>
        <item x="7"/>
        <item x="18"/>
        <item x="15"/>
        <item x="16"/>
        <item x="1"/>
        <item x="4"/>
        <item x="12"/>
        <item x="14"/>
        <item x="8"/>
        <item t="default"/>
      </items>
    </pivotField>
    <pivotField showAll="0"/>
    <pivotField dataField="1" numFmtId="164" showAll="0">
      <items count="60">
        <item h="1" x="54"/>
        <item h="1" x="8"/>
        <item h="1" x="0"/>
        <item h="1" x="43"/>
        <item h="1" x="13"/>
        <item h="1" x="17"/>
        <item h="1" x="15"/>
        <item h="1" x="22"/>
        <item h="1" x="53"/>
        <item h="1" x="48"/>
        <item h="1" x="50"/>
        <item h="1" x="19"/>
        <item h="1" x="29"/>
        <item h="1" x="5"/>
        <item h="1" x="28"/>
        <item h="1" x="6"/>
        <item h="1" x="57"/>
        <item h="1" x="27"/>
        <item h="1" x="33"/>
        <item h="1" x="14"/>
        <item h="1" x="55"/>
        <item h="1" x="26"/>
        <item h="1" x="12"/>
        <item h="1" x="56"/>
        <item h="1" x="44"/>
        <item h="1" x="39"/>
        <item h="1" x="40"/>
        <item h="1" x="58"/>
        <item h="1" x="24"/>
        <item h="1" x="16"/>
        <item h="1" x="10"/>
        <item h="1" x="46"/>
        <item h="1" x="47"/>
        <item h="1" x="1"/>
        <item h="1" x="34"/>
        <item h="1" x="32"/>
        <item h="1" x="21"/>
        <item h="1" x="41"/>
        <item h="1" x="11"/>
        <item h="1" x="3"/>
        <item h="1" x="2"/>
        <item h="1" x="37"/>
        <item h="1" x="4"/>
        <item h="1" x="20"/>
        <item h="1" x="36"/>
        <item h="1" x="38"/>
        <item h="1" x="31"/>
        <item x="23"/>
        <item h="1" x="25"/>
        <item h="1" x="49"/>
        <item h="1" x="30"/>
        <item h="1" x="9"/>
        <item h="1" x="7"/>
        <item h="1" x="45"/>
        <item h="1" x="51"/>
        <item h="1" x="18"/>
        <item h="1" x="42"/>
        <item h="1" x="52"/>
        <item h="1" x="35"/>
        <item t="default"/>
      </items>
    </pivotField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dataFields count="1">
    <dataField name="Soma de Valor" fld="2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Fornecedor" xr10:uid="{8D285F67-4FF8-4C18-8103-35D473710F57}" sourceName="Fornecedor">
  <pivotTables>
    <pivotTable tabId="3" name="Tabela dinâmica5"/>
  </pivotTables>
  <data>
    <tabular pivotCacheId="1127776586">
      <items count="20">
        <i x="0" s="1"/>
        <i x="11" s="1"/>
        <i x="2" s="1"/>
        <i x="17" s="1"/>
        <i x="6" s="1"/>
        <i x="5" s="1"/>
        <i x="13" s="1"/>
        <i x="3" s="1"/>
        <i x="9" s="1"/>
        <i x="19" s="1"/>
        <i x="10" s="1"/>
        <i x="7" s="1"/>
        <i x="18" s="1"/>
        <i x="15" s="1"/>
        <i x="16" s="1"/>
        <i x="1" s="1"/>
        <i x="4" s="1"/>
        <i x="12" s="1"/>
        <i x="14" s="1"/>
        <i x="8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ornecedor" xr10:uid="{9BDF8915-5934-458D-B07D-E60F213B010A}" cache="SegmentaçãodeDados_Fornecedor" caption="Fornecedor" style="SlicerStyleLight6 2" rowHeight="2160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0962-ACB4-43D2-96CC-FFAADAD0CCFC}">
  <dimension ref="B1:U38"/>
  <sheetViews>
    <sheetView topLeftCell="I31" zoomScaleNormal="100" workbookViewId="0">
      <selection activeCell="N25" sqref="N25"/>
    </sheetView>
  </sheetViews>
  <sheetFormatPr defaultRowHeight="15"/>
  <sheetData>
    <row r="1" spans="2:21"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</row>
    <row r="2" spans="2:21"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2:21" ht="20.25" thickBot="1">
      <c r="B3" s="6" t="s">
        <v>41</v>
      </c>
      <c r="C3" s="6"/>
      <c r="D3" s="6"/>
      <c r="E3" s="6"/>
      <c r="F3" s="6"/>
      <c r="G3" s="6"/>
      <c r="H3" s="6"/>
      <c r="I3" s="12"/>
      <c r="J3" s="13" t="s">
        <v>41</v>
      </c>
      <c r="K3" s="13"/>
      <c r="L3" s="13"/>
      <c r="M3" s="13"/>
      <c r="N3" s="13"/>
      <c r="O3" s="13"/>
      <c r="P3" s="13"/>
      <c r="Q3" s="12"/>
      <c r="R3" s="12"/>
      <c r="S3" s="12"/>
      <c r="T3" s="12"/>
      <c r="U3" s="12"/>
    </row>
    <row r="4" spans="2:21" ht="15.75" thickTop="1"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</row>
    <row r="5" spans="2:21">
      <c r="B5" s="7" t="s">
        <v>42</v>
      </c>
      <c r="C5" t="s">
        <v>43</v>
      </c>
      <c r="E5" s="8" t="s">
        <v>44</v>
      </c>
      <c r="F5" t="s">
        <v>45</v>
      </c>
      <c r="I5" s="12"/>
      <c r="J5" s="14" t="s">
        <v>42</v>
      </c>
      <c r="K5" s="12" t="s">
        <v>43</v>
      </c>
      <c r="L5" s="12"/>
      <c r="M5" s="15" t="s">
        <v>44</v>
      </c>
      <c r="N5" s="12" t="s">
        <v>45</v>
      </c>
      <c r="O5" s="12"/>
      <c r="P5" s="12"/>
      <c r="Q5" s="12"/>
      <c r="R5" s="12"/>
      <c r="S5" s="12"/>
      <c r="T5" s="12"/>
      <c r="U5" s="12"/>
    </row>
    <row r="6" spans="2:21">
      <c r="B6" s="9" t="s">
        <v>46</v>
      </c>
      <c r="C6" t="s">
        <v>43</v>
      </c>
      <c r="I6" s="12"/>
      <c r="J6" s="16" t="s">
        <v>46</v>
      </c>
      <c r="K6" s="12" t="s">
        <v>43</v>
      </c>
      <c r="L6" s="12"/>
      <c r="M6" s="12"/>
      <c r="N6" s="12"/>
      <c r="O6" s="12"/>
      <c r="P6" s="12"/>
      <c r="Q6" s="12"/>
      <c r="R6" s="12"/>
      <c r="S6" s="12"/>
      <c r="T6" s="12"/>
      <c r="U6" s="12"/>
    </row>
    <row r="7" spans="2:21">
      <c r="B7" s="10" t="s">
        <v>47</v>
      </c>
      <c r="C7" t="s">
        <v>48</v>
      </c>
      <c r="I7" s="12"/>
      <c r="J7" s="17" t="s">
        <v>47</v>
      </c>
      <c r="K7" s="12" t="s">
        <v>48</v>
      </c>
      <c r="L7" s="12"/>
      <c r="M7" s="12"/>
      <c r="N7" s="12"/>
      <c r="O7" s="12"/>
      <c r="P7" s="12"/>
      <c r="Q7" s="12"/>
      <c r="R7" s="12"/>
      <c r="S7" s="12"/>
      <c r="T7" s="12"/>
      <c r="U7" s="12"/>
    </row>
    <row r="8" spans="2:21">
      <c r="B8" s="11" t="s">
        <v>49</v>
      </c>
      <c r="C8" t="s">
        <v>48</v>
      </c>
      <c r="I8" s="12"/>
      <c r="J8" s="18" t="s">
        <v>49</v>
      </c>
      <c r="K8" s="12" t="s">
        <v>48</v>
      </c>
      <c r="L8" s="12"/>
      <c r="M8" s="12"/>
      <c r="N8" s="12"/>
      <c r="O8" s="12"/>
      <c r="P8" s="12"/>
      <c r="Q8" s="12"/>
      <c r="R8" s="12"/>
      <c r="S8" s="12"/>
      <c r="T8" s="12"/>
      <c r="U8" s="12"/>
    </row>
    <row r="9" spans="2:21"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</row>
    <row r="10" spans="2:21"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2:21"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2:21" ht="20.25" thickBot="1">
      <c r="B12" s="6" t="s">
        <v>50</v>
      </c>
      <c r="C12" s="6"/>
      <c r="D12" s="6"/>
      <c r="E12" s="6"/>
      <c r="F12" s="6"/>
      <c r="G12" s="6"/>
      <c r="H12" s="6"/>
      <c r="I12" s="12"/>
      <c r="J12" s="13" t="s">
        <v>51</v>
      </c>
      <c r="K12" s="13"/>
      <c r="L12" s="13"/>
      <c r="M12" s="13"/>
      <c r="N12" s="13"/>
      <c r="O12" s="13"/>
      <c r="P12" s="13"/>
      <c r="Q12" s="12"/>
      <c r="R12" s="13" t="s">
        <v>50</v>
      </c>
      <c r="S12" s="13"/>
      <c r="T12" s="13"/>
      <c r="U12" s="13"/>
    </row>
    <row r="13" spans="2:21" ht="15.75" thickTop="1">
      <c r="I13" s="12"/>
      <c r="J13" s="19"/>
      <c r="K13" s="19"/>
      <c r="L13" s="19"/>
      <c r="M13" s="19"/>
      <c r="N13" s="19"/>
      <c r="O13" s="19"/>
      <c r="P13" s="19"/>
      <c r="Q13" s="12"/>
      <c r="R13" s="12"/>
      <c r="S13" s="12"/>
      <c r="T13" s="12"/>
      <c r="U13" s="12"/>
    </row>
    <row r="14" spans="2:21">
      <c r="I14" s="12"/>
      <c r="J14" s="19"/>
      <c r="K14" s="19"/>
      <c r="L14" s="19"/>
      <c r="M14" s="19"/>
      <c r="N14" s="19"/>
      <c r="O14" s="19"/>
      <c r="P14" s="19"/>
      <c r="Q14" s="12"/>
      <c r="R14" s="12"/>
      <c r="S14" s="12"/>
      <c r="T14" s="12"/>
      <c r="U14" s="12"/>
    </row>
    <row r="15" spans="2:21">
      <c r="I15" s="12"/>
      <c r="J15" s="19"/>
      <c r="K15" s="19"/>
      <c r="L15" s="19"/>
      <c r="M15" s="19"/>
      <c r="N15" s="19"/>
      <c r="O15" s="19"/>
      <c r="P15" s="19"/>
      <c r="Q15" s="12"/>
      <c r="R15" s="12"/>
      <c r="S15" s="12"/>
      <c r="T15" s="12"/>
      <c r="U15" s="12"/>
    </row>
    <row r="16" spans="2:21">
      <c r="I16" s="12"/>
      <c r="J16" s="19"/>
      <c r="K16" s="19"/>
      <c r="L16" s="19"/>
      <c r="M16" s="19"/>
      <c r="N16" s="19"/>
      <c r="O16" s="19"/>
      <c r="P16" s="19"/>
      <c r="Q16" s="12"/>
      <c r="R16" s="12"/>
      <c r="S16" s="12"/>
      <c r="T16" s="12"/>
      <c r="U16" s="12"/>
    </row>
    <row r="17" spans="9:21">
      <c r="I17" s="12"/>
      <c r="J17" s="19"/>
      <c r="K17" s="19"/>
      <c r="L17" s="19"/>
      <c r="M17" s="19"/>
      <c r="N17" s="19"/>
      <c r="O17" s="19"/>
      <c r="P17" s="19"/>
      <c r="Q17" s="12"/>
      <c r="R17" s="12"/>
      <c r="S17" s="12"/>
      <c r="T17" s="12"/>
      <c r="U17" s="12"/>
    </row>
    <row r="18" spans="9:21">
      <c r="I18" s="12"/>
      <c r="J18" s="19"/>
      <c r="K18" s="19"/>
      <c r="L18" s="19"/>
      <c r="M18" s="19"/>
      <c r="N18" s="19"/>
      <c r="O18" s="19"/>
      <c r="P18" s="19"/>
      <c r="Q18" s="12"/>
      <c r="R18" s="12"/>
      <c r="S18" s="12"/>
      <c r="T18" s="12"/>
      <c r="U18" s="12"/>
    </row>
    <row r="19" spans="9:21">
      <c r="I19" s="12"/>
      <c r="J19" s="19"/>
      <c r="K19" s="19"/>
      <c r="L19" s="19"/>
      <c r="M19" s="19"/>
      <c r="N19" s="19"/>
      <c r="O19" s="19"/>
      <c r="P19" s="19"/>
      <c r="Q19" s="12"/>
      <c r="R19" s="12"/>
      <c r="S19" s="12"/>
      <c r="T19" s="12"/>
      <c r="U19" s="12"/>
    </row>
    <row r="20" spans="9:21">
      <c r="I20" s="12"/>
      <c r="J20" s="19"/>
      <c r="K20" s="19"/>
      <c r="L20" s="19"/>
      <c r="M20" s="19"/>
      <c r="N20" s="19"/>
      <c r="O20" s="19"/>
      <c r="P20" s="19"/>
      <c r="Q20" s="12"/>
      <c r="R20" s="12"/>
      <c r="S20" s="12"/>
      <c r="T20" s="12"/>
      <c r="U20" s="12"/>
    </row>
    <row r="21" spans="9:21">
      <c r="I21" s="12"/>
      <c r="J21" s="19"/>
      <c r="K21" s="19"/>
      <c r="L21" s="19"/>
      <c r="M21" s="19"/>
      <c r="N21" s="19"/>
      <c r="O21" s="19"/>
      <c r="P21" s="19"/>
      <c r="Q21" s="12"/>
      <c r="R21" s="12"/>
      <c r="S21" s="12"/>
      <c r="T21" s="12"/>
      <c r="U21" s="12"/>
    </row>
    <row r="22" spans="9:21"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</row>
    <row r="23" spans="9:21"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</row>
    <row r="24" spans="9:21"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</row>
    <row r="25" spans="9:21"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</row>
    <row r="26" spans="9:21"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</row>
    <row r="27" spans="9:21"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</row>
    <row r="28" spans="9:21"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</row>
    <row r="29" spans="9:21"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</row>
    <row r="30" spans="9:21"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</row>
    <row r="31" spans="9:21"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</row>
    <row r="32" spans="9:21"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</row>
    <row r="33" spans="9:21"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</row>
    <row r="34" spans="9:21"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</row>
    <row r="35" spans="9:21"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</row>
    <row r="36" spans="9:21"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</row>
    <row r="37" spans="9:21"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</row>
    <row r="38" spans="9:21"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68"/>
  <sheetViews>
    <sheetView workbookViewId="0">
      <pane ySplit="1" topLeftCell="A29" activePane="bottomLeft" state="frozen"/>
      <selection activeCell="N25" sqref="N25"/>
      <selection pane="bottomLeft" activeCell="N25" sqref="N25"/>
    </sheetView>
  </sheetViews>
  <sheetFormatPr defaultColWidth="11.42578125" defaultRowHeight="15"/>
  <cols>
    <col min="1" max="1" width="26.7109375" style="4" customWidth="1"/>
    <col min="2" max="2" width="23.5703125" style="2" customWidth="1"/>
    <col min="3" max="3" width="21" style="3" customWidth="1"/>
  </cols>
  <sheetData>
    <row r="1" spans="1:3">
      <c r="A1" s="4" t="s">
        <v>1</v>
      </c>
      <c r="B1" s="2" t="s">
        <v>40</v>
      </c>
      <c r="C1" s="3" t="s">
        <v>0</v>
      </c>
    </row>
    <row r="2" spans="1:3">
      <c r="A2" s="4" t="s">
        <v>39</v>
      </c>
      <c r="B2" s="5">
        <v>45536</v>
      </c>
      <c r="C2" s="3">
        <v>125</v>
      </c>
    </row>
    <row r="3" spans="1:3">
      <c r="A3" s="4" t="s">
        <v>2</v>
      </c>
      <c r="B3" s="5">
        <v>45544</v>
      </c>
      <c r="C3" s="3">
        <v>501.18</v>
      </c>
    </row>
    <row r="4" spans="1:3">
      <c r="A4" s="4" t="s">
        <v>38</v>
      </c>
      <c r="B4" s="5">
        <v>45536</v>
      </c>
      <c r="C4" s="3">
        <v>620</v>
      </c>
    </row>
    <row r="5" spans="1:3">
      <c r="A5" s="4" t="s">
        <v>38</v>
      </c>
      <c r="B5" s="5">
        <v>45541</v>
      </c>
      <c r="C5" s="3">
        <v>600</v>
      </c>
    </row>
    <row r="6" spans="1:3">
      <c r="A6" s="4" t="s">
        <v>38</v>
      </c>
      <c r="B6" s="5">
        <v>45549</v>
      </c>
      <c r="C6" s="3">
        <v>636.70000000000005</v>
      </c>
    </row>
    <row r="7" spans="1:3">
      <c r="A7" s="4" t="s">
        <v>38</v>
      </c>
      <c r="B7" s="5">
        <v>45552</v>
      </c>
      <c r="C7" s="3">
        <v>310</v>
      </c>
    </row>
    <row r="8" spans="1:3">
      <c r="A8" s="4" t="s">
        <v>38</v>
      </c>
      <c r="B8" s="5">
        <v>45555</v>
      </c>
      <c r="C8" s="3">
        <v>620</v>
      </c>
    </row>
    <row r="9" spans="1:3">
      <c r="A9" s="4" t="s">
        <v>38</v>
      </c>
      <c r="B9" s="5">
        <v>45559</v>
      </c>
      <c r="C9" s="3">
        <v>326.7</v>
      </c>
    </row>
    <row r="10" spans="1:3">
      <c r="A10" s="4" t="s">
        <v>38</v>
      </c>
      <c r="B10" s="5">
        <v>45561</v>
      </c>
      <c r="C10" s="3">
        <v>620</v>
      </c>
    </row>
    <row r="11" spans="1:3">
      <c r="A11" s="4" t="s">
        <v>38</v>
      </c>
      <c r="B11" s="5">
        <v>45564</v>
      </c>
      <c r="C11" s="3">
        <v>980</v>
      </c>
    </row>
    <row r="12" spans="1:3">
      <c r="A12" s="4" t="s">
        <v>38</v>
      </c>
      <c r="B12" s="5">
        <v>45564</v>
      </c>
      <c r="C12" s="3">
        <v>980</v>
      </c>
    </row>
    <row r="13" spans="1:3">
      <c r="A13" s="4" t="s">
        <v>36</v>
      </c>
      <c r="B13" s="2" t="s">
        <v>3</v>
      </c>
      <c r="C13" s="3">
        <v>93</v>
      </c>
    </row>
    <row r="14" spans="1:3">
      <c r="A14" s="4" t="s">
        <v>6</v>
      </c>
      <c r="B14" s="2" t="s">
        <v>7</v>
      </c>
      <c r="C14" s="3">
        <v>894</v>
      </c>
    </row>
    <row r="15" spans="1:3">
      <c r="A15" s="4" t="s">
        <v>15</v>
      </c>
      <c r="B15" s="2" t="s">
        <v>7</v>
      </c>
      <c r="C15" s="3">
        <v>463.75</v>
      </c>
    </row>
    <row r="16" spans="1:3">
      <c r="A16" s="4" t="s">
        <v>18</v>
      </c>
      <c r="B16" s="2" t="s">
        <v>7</v>
      </c>
      <c r="C16" s="3">
        <v>599.6</v>
      </c>
    </row>
    <row r="17" spans="1:6">
      <c r="A17" s="4" t="s">
        <v>18</v>
      </c>
      <c r="B17" s="2" t="s">
        <v>7</v>
      </c>
      <c r="C17" s="3">
        <v>401.96</v>
      </c>
    </row>
    <row r="18" spans="1:6">
      <c r="A18" s="4" t="s">
        <v>31</v>
      </c>
      <c r="B18" s="2" t="s">
        <v>7</v>
      </c>
      <c r="C18" s="3">
        <v>135</v>
      </c>
    </row>
    <row r="19" spans="1:6">
      <c r="A19" s="4" t="s">
        <v>26</v>
      </c>
      <c r="B19" s="2" t="s">
        <v>7</v>
      </c>
      <c r="C19" s="3">
        <v>359.4</v>
      </c>
      <c r="F19" s="1"/>
    </row>
    <row r="20" spans="1:6">
      <c r="A20" s="4" t="s">
        <v>23</v>
      </c>
      <c r="B20" s="2" t="s">
        <v>13</v>
      </c>
      <c r="C20" s="3">
        <v>151.13999999999999</v>
      </c>
    </row>
    <row r="21" spans="1:6">
      <c r="A21" s="4" t="s">
        <v>21</v>
      </c>
      <c r="B21" s="2" t="s">
        <v>5</v>
      </c>
      <c r="C21" s="3">
        <v>462.6</v>
      </c>
    </row>
    <row r="22" spans="1:6">
      <c r="A22" s="4" t="s">
        <v>10</v>
      </c>
      <c r="B22" s="2" t="s">
        <v>11</v>
      </c>
      <c r="C22" s="3">
        <v>140</v>
      </c>
    </row>
    <row r="23" spans="1:6">
      <c r="A23" s="4" t="s">
        <v>6</v>
      </c>
      <c r="B23" s="2" t="s">
        <v>11</v>
      </c>
      <c r="C23" s="3">
        <v>1200</v>
      </c>
    </row>
    <row r="24" spans="1:6">
      <c r="A24" s="4" t="s">
        <v>15</v>
      </c>
      <c r="B24" s="2" t="s">
        <v>16</v>
      </c>
      <c r="C24" s="3">
        <v>280.94</v>
      </c>
    </row>
    <row r="25" spans="1:6">
      <c r="A25" s="4" t="s">
        <v>17</v>
      </c>
      <c r="B25" s="2" t="s">
        <v>16</v>
      </c>
      <c r="C25" s="3">
        <v>654.15</v>
      </c>
    </row>
    <row r="26" spans="1:6">
      <c r="A26" s="4" t="s">
        <v>18</v>
      </c>
      <c r="B26" s="2" t="s">
        <v>16</v>
      </c>
      <c r="C26" s="3">
        <v>565.77</v>
      </c>
    </row>
    <row r="27" spans="1:6">
      <c r="A27" s="4" t="s">
        <v>23</v>
      </c>
      <c r="B27" s="2" t="s">
        <v>16</v>
      </c>
      <c r="C27" s="3">
        <v>152.32</v>
      </c>
    </row>
    <row r="28" spans="1:6">
      <c r="A28" s="4" t="s">
        <v>15</v>
      </c>
      <c r="B28" s="2" t="s">
        <v>19</v>
      </c>
      <c r="C28" s="3">
        <v>780</v>
      </c>
    </row>
    <row r="29" spans="1:6">
      <c r="A29" s="4" t="s">
        <v>22</v>
      </c>
      <c r="B29" s="2" t="s">
        <v>19</v>
      </c>
      <c r="C29" s="3">
        <v>456</v>
      </c>
    </row>
    <row r="30" spans="1:6">
      <c r="A30" s="4" t="s">
        <v>33</v>
      </c>
      <c r="B30" s="2" t="s">
        <v>34</v>
      </c>
      <c r="C30" s="3">
        <v>827.04</v>
      </c>
    </row>
    <row r="31" spans="1:6">
      <c r="A31" s="4" t="s">
        <v>15</v>
      </c>
      <c r="B31" s="2" t="s">
        <v>24</v>
      </c>
      <c r="C31" s="3">
        <v>390</v>
      </c>
    </row>
    <row r="32" spans="1:6">
      <c r="A32" s="4" t="s">
        <v>18</v>
      </c>
      <c r="B32" s="2" t="s">
        <v>24</v>
      </c>
      <c r="C32" s="3">
        <v>335.66</v>
      </c>
    </row>
    <row r="33" spans="1:3">
      <c r="A33" s="4" t="s">
        <v>2</v>
      </c>
      <c r="B33" s="2" t="s">
        <v>24</v>
      </c>
      <c r="C33" s="3">
        <v>313.62</v>
      </c>
    </row>
    <row r="34" spans="1:3">
      <c r="A34" s="4" t="s">
        <v>26</v>
      </c>
      <c r="B34" s="2" t="s">
        <v>24</v>
      </c>
      <c r="C34" s="3">
        <v>309.5</v>
      </c>
    </row>
    <row r="35" spans="1:3">
      <c r="A35" s="4" t="s">
        <v>6</v>
      </c>
      <c r="B35" s="2" t="s">
        <v>9</v>
      </c>
      <c r="C35" s="3">
        <v>1200</v>
      </c>
    </row>
    <row r="36" spans="1:3">
      <c r="A36" s="4" t="s">
        <v>21</v>
      </c>
      <c r="B36" s="2" t="s">
        <v>9</v>
      </c>
      <c r="C36" s="3">
        <v>891.55</v>
      </c>
    </row>
    <row r="37" spans="1:3">
      <c r="A37" s="4" t="s">
        <v>15</v>
      </c>
      <c r="B37" s="2" t="s">
        <v>9</v>
      </c>
      <c r="C37" s="3">
        <v>757.6</v>
      </c>
    </row>
    <row r="38" spans="1:3">
      <c r="A38" s="4" t="s">
        <v>15</v>
      </c>
      <c r="B38" s="2" t="s">
        <v>9</v>
      </c>
      <c r="C38" s="3">
        <v>553.32000000000005</v>
      </c>
    </row>
    <row r="39" spans="1:3">
      <c r="A39" s="4" t="s">
        <v>25</v>
      </c>
      <c r="B39" s="2" t="s">
        <v>9</v>
      </c>
      <c r="C39" s="3">
        <v>346.5</v>
      </c>
    </row>
    <row r="40" spans="1:3">
      <c r="A40" s="4" t="s">
        <v>12</v>
      </c>
      <c r="B40" s="2" t="s">
        <v>14</v>
      </c>
      <c r="C40" s="3">
        <v>503.85</v>
      </c>
    </row>
    <row r="41" spans="1:3">
      <c r="A41" s="4" t="s">
        <v>17</v>
      </c>
      <c r="B41" s="2" t="s">
        <v>14</v>
      </c>
      <c r="C41" s="3">
        <v>2577.86</v>
      </c>
    </row>
    <row r="42" spans="1:3">
      <c r="A42" s="4" t="s">
        <v>20</v>
      </c>
      <c r="B42" s="2" t="s">
        <v>30</v>
      </c>
      <c r="C42" s="3">
        <v>688.14</v>
      </c>
    </row>
    <row r="43" spans="1:3">
      <c r="A43" s="4" t="s">
        <v>17</v>
      </c>
      <c r="B43" s="2" t="s">
        <v>32</v>
      </c>
      <c r="C43" s="3">
        <v>636</v>
      </c>
    </row>
    <row r="44" spans="1:3">
      <c r="A44" s="4" t="s">
        <v>17</v>
      </c>
      <c r="B44" s="2" t="s">
        <v>32</v>
      </c>
      <c r="C44" s="3">
        <v>714.95</v>
      </c>
    </row>
    <row r="45" spans="1:3">
      <c r="A45" s="4" t="s">
        <v>18</v>
      </c>
      <c r="B45" s="2" t="s">
        <v>32</v>
      </c>
      <c r="C45" s="3">
        <v>424.94</v>
      </c>
    </row>
    <row r="46" spans="1:3">
      <c r="A46" s="4" t="s">
        <v>2</v>
      </c>
      <c r="B46" s="2" t="s">
        <v>32</v>
      </c>
      <c r="C46" s="3">
        <v>452.21</v>
      </c>
    </row>
    <row r="47" spans="1:3">
      <c r="A47" s="4" t="s">
        <v>26</v>
      </c>
      <c r="B47" s="2" t="s">
        <v>32</v>
      </c>
      <c r="C47" s="3">
        <v>359.4</v>
      </c>
    </row>
    <row r="48" spans="1:3">
      <c r="A48" s="4" t="s">
        <v>36</v>
      </c>
      <c r="B48" s="2" t="s">
        <v>32</v>
      </c>
      <c r="C48" s="3">
        <v>93</v>
      </c>
    </row>
    <row r="49" spans="1:3">
      <c r="A49" s="4" t="s">
        <v>15</v>
      </c>
      <c r="B49" s="2" t="s">
        <v>35</v>
      </c>
      <c r="C49" s="3">
        <v>568.94000000000005</v>
      </c>
    </row>
    <row r="50" spans="1:3">
      <c r="A50" s="4" t="s">
        <v>20</v>
      </c>
      <c r="B50" s="2" t="s">
        <v>35</v>
      </c>
      <c r="C50" s="3">
        <v>1362.1</v>
      </c>
    </row>
    <row r="51" spans="1:3">
      <c r="A51" s="4" t="s">
        <v>20</v>
      </c>
      <c r="B51" s="2" t="s">
        <v>35</v>
      </c>
      <c r="C51" s="3">
        <v>130.78</v>
      </c>
    </row>
    <row r="52" spans="1:3">
      <c r="A52" s="4" t="s">
        <v>20</v>
      </c>
      <c r="B52" s="2" t="s">
        <v>8</v>
      </c>
      <c r="C52" s="3">
        <v>404.71</v>
      </c>
    </row>
    <row r="53" spans="1:3">
      <c r="A53" s="4" t="s">
        <v>20</v>
      </c>
      <c r="B53" s="2" t="s">
        <v>8</v>
      </c>
      <c r="C53" s="3">
        <v>1124.8900000000001</v>
      </c>
    </row>
    <row r="54" spans="1:3">
      <c r="A54" s="4" t="s">
        <v>20</v>
      </c>
      <c r="B54" s="2" t="s">
        <v>8</v>
      </c>
      <c r="C54" s="3">
        <v>480.72</v>
      </c>
    </row>
    <row r="55" spans="1:3">
      <c r="A55" s="4" t="s">
        <v>17</v>
      </c>
      <c r="B55" s="2" t="s">
        <v>8</v>
      </c>
      <c r="C55" s="3">
        <v>486.67</v>
      </c>
    </row>
    <row r="56" spans="1:3">
      <c r="A56" s="4" t="s">
        <v>23</v>
      </c>
      <c r="B56" s="2" t="s">
        <v>8</v>
      </c>
      <c r="C56" s="3">
        <v>216.85</v>
      </c>
    </row>
    <row r="57" spans="1:3">
      <c r="A57" s="4" t="s">
        <v>27</v>
      </c>
      <c r="B57" s="2" t="s">
        <v>4</v>
      </c>
      <c r="C57" s="3">
        <v>877.53</v>
      </c>
    </row>
    <row r="58" spans="1:3">
      <c r="A58" s="4" t="s">
        <v>22</v>
      </c>
      <c r="B58" s="2" t="s">
        <v>4</v>
      </c>
      <c r="C58" s="3">
        <v>456</v>
      </c>
    </row>
    <row r="59" spans="1:3">
      <c r="A59" s="4" t="s">
        <v>31</v>
      </c>
      <c r="B59" s="2" t="s">
        <v>28</v>
      </c>
      <c r="C59" s="3">
        <v>245.28</v>
      </c>
    </row>
    <row r="60" spans="1:3">
      <c r="A60" s="4" t="s">
        <v>6</v>
      </c>
      <c r="B60" s="5">
        <v>45564</v>
      </c>
      <c r="C60" s="3">
        <v>1192</v>
      </c>
    </row>
    <row r="61" spans="1:3">
      <c r="A61" s="4" t="s">
        <v>17</v>
      </c>
      <c r="B61" s="5">
        <v>45564</v>
      </c>
      <c r="C61" s="3">
        <v>1424.58</v>
      </c>
    </row>
    <row r="62" spans="1:3">
      <c r="A62" s="4" t="s">
        <v>22</v>
      </c>
      <c r="B62" s="5">
        <v>45564</v>
      </c>
      <c r="C62" s="3">
        <v>216</v>
      </c>
    </row>
    <row r="63" spans="1:3">
      <c r="A63" s="4" t="s">
        <v>20</v>
      </c>
      <c r="B63" s="5">
        <v>45565</v>
      </c>
      <c r="C63" s="3">
        <v>38.81</v>
      </c>
    </row>
    <row r="64" spans="1:3">
      <c r="A64" s="4" t="s">
        <v>20</v>
      </c>
      <c r="B64" s="5">
        <v>45560</v>
      </c>
      <c r="C64" s="3">
        <v>362.1</v>
      </c>
    </row>
    <row r="65" spans="1:3">
      <c r="A65" s="4" t="s">
        <v>37</v>
      </c>
      <c r="B65" s="5">
        <v>45565</v>
      </c>
      <c r="C65" s="3">
        <v>403.17</v>
      </c>
    </row>
    <row r="66" spans="1:3">
      <c r="A66" s="4" t="s">
        <v>15</v>
      </c>
      <c r="B66" s="5">
        <v>45562</v>
      </c>
      <c r="C66" s="3">
        <v>334.8</v>
      </c>
    </row>
    <row r="67" spans="1:3">
      <c r="A67" s="4" t="s">
        <v>27</v>
      </c>
      <c r="B67" s="2" t="s">
        <v>29</v>
      </c>
      <c r="C67" s="3">
        <v>455.2</v>
      </c>
    </row>
    <row r="68" spans="1:3">
      <c r="A68" s="4" t="s">
        <v>2</v>
      </c>
      <c r="B68" s="2" t="s">
        <v>29</v>
      </c>
      <c r="C68" s="3">
        <v>346.5</v>
      </c>
    </row>
  </sheetData>
  <autoFilter ref="A1:C68" xr:uid="{00000000-0001-0000-0000-000000000000}"/>
  <sortState xmlns:xlrd2="http://schemas.microsoft.com/office/spreadsheetml/2017/richdata2" ref="A2:C68">
    <sortCondition ref="B2:B68"/>
  </sortState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FF43-53B7-4A35-BDC4-8DF24ED9DECE}">
  <dimension ref="A3:B27"/>
  <sheetViews>
    <sheetView zoomScale="85" zoomScaleNormal="85" workbookViewId="0">
      <selection activeCell="N25" sqref="N25"/>
    </sheetView>
  </sheetViews>
  <sheetFormatPr defaultRowHeight="15"/>
  <cols>
    <col min="1" max="1" width="53.42578125" bestFit="1" customWidth="1"/>
    <col min="2" max="2" width="13.85546875" bestFit="1" customWidth="1"/>
    <col min="3" max="3" width="8.140625" bestFit="1" customWidth="1"/>
    <col min="4" max="4" width="9.140625" bestFit="1" customWidth="1"/>
    <col min="5" max="5" width="9.140625" customWidth="1"/>
    <col min="6" max="54" width="9.140625" bestFit="1" customWidth="1"/>
    <col min="55" max="61" width="10.7109375" bestFit="1" customWidth="1"/>
  </cols>
  <sheetData>
    <row r="3" spans="1:2">
      <c r="A3" s="20" t="s">
        <v>53</v>
      </c>
      <c r="B3" t="s">
        <v>52</v>
      </c>
    </row>
    <row r="4" spans="1:2">
      <c r="A4" s="22" t="s">
        <v>39</v>
      </c>
      <c r="B4" s="23">
        <v>125</v>
      </c>
    </row>
    <row r="5" spans="1:2">
      <c r="A5" s="22" t="s">
        <v>10</v>
      </c>
      <c r="B5" s="23">
        <v>140</v>
      </c>
    </row>
    <row r="6" spans="1:2">
      <c r="A6" s="22" t="s">
        <v>38</v>
      </c>
      <c r="B6" s="23">
        <v>5693.4</v>
      </c>
    </row>
    <row r="7" spans="1:2">
      <c r="A7" s="22" t="s">
        <v>20</v>
      </c>
      <c r="B7" s="23">
        <v>4592.2500000000009</v>
      </c>
    </row>
    <row r="8" spans="1:2">
      <c r="A8" s="22" t="s">
        <v>18</v>
      </c>
      <c r="B8" s="23">
        <v>2327.9299999999998</v>
      </c>
    </row>
    <row r="9" spans="1:2">
      <c r="A9" s="22" t="s">
        <v>15</v>
      </c>
      <c r="B9" s="23">
        <v>4129.3500000000004</v>
      </c>
    </row>
    <row r="10" spans="1:2">
      <c r="A10" s="22" t="s">
        <v>22</v>
      </c>
      <c r="B10" s="23">
        <v>1128</v>
      </c>
    </row>
    <row r="11" spans="1:2">
      <c r="A11" s="22" t="s">
        <v>36</v>
      </c>
      <c r="B11" s="23">
        <v>186</v>
      </c>
    </row>
    <row r="12" spans="1:2">
      <c r="A12" s="22" t="s">
        <v>23</v>
      </c>
      <c r="B12" s="23">
        <v>520.30999999999995</v>
      </c>
    </row>
    <row r="13" spans="1:2">
      <c r="A13" s="22" t="s">
        <v>37</v>
      </c>
      <c r="B13" s="23">
        <v>403.17</v>
      </c>
    </row>
    <row r="14" spans="1:2">
      <c r="A14" s="22" t="s">
        <v>21</v>
      </c>
      <c r="B14" s="23">
        <v>1354.15</v>
      </c>
    </row>
    <row r="15" spans="1:2">
      <c r="A15" s="22" t="s">
        <v>31</v>
      </c>
      <c r="B15" s="23">
        <v>380.28</v>
      </c>
    </row>
    <row r="16" spans="1:2">
      <c r="A16" s="22" t="s">
        <v>27</v>
      </c>
      <c r="B16" s="23">
        <v>1332.73</v>
      </c>
    </row>
    <row r="17" spans="1:2">
      <c r="A17" s="22" t="s">
        <v>25</v>
      </c>
      <c r="B17" s="23">
        <v>346.5</v>
      </c>
    </row>
    <row r="18" spans="1:2">
      <c r="A18" s="22" t="s">
        <v>12</v>
      </c>
      <c r="B18" s="23">
        <v>503.85</v>
      </c>
    </row>
    <row r="19" spans="1:2">
      <c r="A19" s="22" t="s">
        <v>2</v>
      </c>
      <c r="B19" s="23">
        <v>1613.51</v>
      </c>
    </row>
    <row r="20" spans="1:2">
      <c r="A20" s="22" t="s">
        <v>6</v>
      </c>
      <c r="B20" s="23">
        <v>4486</v>
      </c>
    </row>
    <row r="21" spans="1:2">
      <c r="A21" s="22" t="s">
        <v>17</v>
      </c>
      <c r="B21" s="23">
        <v>6494.21</v>
      </c>
    </row>
    <row r="22" spans="1:2">
      <c r="A22" s="22" t="s">
        <v>33</v>
      </c>
      <c r="B22" s="23">
        <v>827.04</v>
      </c>
    </row>
    <row r="23" spans="1:2">
      <c r="A23" s="22" t="s">
        <v>26</v>
      </c>
      <c r="B23" s="23">
        <v>1028.3</v>
      </c>
    </row>
    <row r="24" spans="1:2">
      <c r="A24" s="22" t="s">
        <v>54</v>
      </c>
      <c r="B24" s="23">
        <v>37611.980000000003</v>
      </c>
    </row>
    <row r="27" spans="1:2">
      <c r="A27" s="21">
        <f>GETPIVOTDATA("Valor",$A$3)</f>
        <v>37611.980000000003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26CAE-5367-4517-BB9E-9A388400D109}">
  <dimension ref="A1:M133"/>
  <sheetViews>
    <sheetView showRowColHeaders="0" tabSelected="1" zoomScale="115" zoomScaleNormal="115" workbookViewId="0">
      <selection activeCell="I44" sqref="I44"/>
    </sheetView>
  </sheetViews>
  <sheetFormatPr defaultRowHeight="15"/>
  <cols>
    <col min="1" max="1" width="31.28515625" style="24" customWidth="1"/>
    <col min="2" max="2" width="4.140625" customWidth="1"/>
    <col min="12" max="12" width="7.5703125" customWidth="1"/>
  </cols>
  <sheetData>
    <row r="1" spans="1:13" s="8" customFormat="1" ht="51" customHeight="1">
      <c r="A1" s="24"/>
      <c r="B1" s="25" t="s">
        <v>55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</row>
    <row r="2" spans="1:13" s="8" customFormat="1" ht="7.5" customHeight="1">
      <c r="A2" s="24"/>
    </row>
    <row r="3" spans="1:13" s="8" customFormat="1" ht="10.5" customHeight="1">
      <c r="A3" s="24"/>
    </row>
    <row r="4" spans="1:13" s="8" customFormat="1" ht="9.75" customHeight="1">
      <c r="A4" s="24"/>
    </row>
    <row r="5" spans="1:13" s="8" customFormat="1" ht="11.25" customHeight="1">
      <c r="A5" s="24"/>
    </row>
    <row r="6" spans="1:13" s="8" customFormat="1">
      <c r="A6" s="24"/>
    </row>
    <row r="7" spans="1:13" s="8" customFormat="1">
      <c r="A7" s="24"/>
    </row>
    <row r="8" spans="1:13" s="8" customFormat="1" ht="14.25" customHeight="1">
      <c r="A8" s="24"/>
    </row>
    <row r="9" spans="1:13" s="8" customFormat="1">
      <c r="A9" s="24"/>
    </row>
    <row r="10" spans="1:13" s="8" customFormat="1">
      <c r="A10" s="24"/>
    </row>
    <row r="11" spans="1:13" s="8" customFormat="1">
      <c r="A11" s="24"/>
    </row>
    <row r="12" spans="1:13" s="8" customFormat="1">
      <c r="A12" s="24"/>
    </row>
    <row r="13" spans="1:13" s="8" customFormat="1">
      <c r="A13" s="24"/>
    </row>
    <row r="14" spans="1:13" s="8" customFormat="1">
      <c r="A14" s="24"/>
    </row>
    <row r="15" spans="1:13" s="8" customFormat="1">
      <c r="A15" s="24"/>
    </row>
    <row r="16" spans="1:13" s="8" customFormat="1">
      <c r="A16" s="24"/>
    </row>
    <row r="17" spans="1:1" s="8" customFormat="1">
      <c r="A17" s="24"/>
    </row>
    <row r="18" spans="1:1" s="8" customFormat="1">
      <c r="A18" s="24"/>
    </row>
    <row r="19" spans="1:1" s="8" customFormat="1">
      <c r="A19" s="24"/>
    </row>
    <row r="20" spans="1:1" s="8" customFormat="1">
      <c r="A20" s="24"/>
    </row>
    <row r="21" spans="1:1" s="8" customFormat="1">
      <c r="A21" s="24"/>
    </row>
    <row r="22" spans="1:1" s="8" customFormat="1">
      <c r="A22" s="24"/>
    </row>
    <row r="23" spans="1:1" s="8" customFormat="1">
      <c r="A23" s="24"/>
    </row>
    <row r="24" spans="1:1" s="8" customFormat="1">
      <c r="A24" s="24"/>
    </row>
    <row r="25" spans="1:1" s="8" customFormat="1">
      <c r="A25" s="24"/>
    </row>
    <row r="26" spans="1:1" s="8" customFormat="1">
      <c r="A26" s="24"/>
    </row>
    <row r="27" spans="1:1" s="8" customFormat="1">
      <c r="A27" s="24"/>
    </row>
    <row r="28" spans="1:1" s="8" customFormat="1">
      <c r="A28" s="24"/>
    </row>
    <row r="29" spans="1:1" s="8" customFormat="1">
      <c r="A29" s="24"/>
    </row>
    <row r="30" spans="1:1" s="8" customFormat="1">
      <c r="A30" s="24"/>
    </row>
    <row r="31" spans="1:1" s="8" customFormat="1">
      <c r="A31" s="24"/>
    </row>
    <row r="32" spans="1:1" s="8" customFormat="1">
      <c r="A32" s="24"/>
    </row>
    <row r="33" spans="1:1" s="8" customFormat="1">
      <c r="A33" s="24"/>
    </row>
    <row r="34" spans="1:1" s="8" customFormat="1">
      <c r="A34" s="24"/>
    </row>
    <row r="35" spans="1:1" s="8" customFormat="1">
      <c r="A35" s="24"/>
    </row>
    <row r="36" spans="1:1" s="8" customFormat="1">
      <c r="A36" s="24"/>
    </row>
    <row r="37" spans="1:1" s="8" customFormat="1">
      <c r="A37" s="24"/>
    </row>
    <row r="38" spans="1:1" s="8" customFormat="1">
      <c r="A38" s="24"/>
    </row>
    <row r="39" spans="1:1" s="8" customFormat="1">
      <c r="A39" s="24"/>
    </row>
    <row r="40" spans="1:1" s="8" customFormat="1">
      <c r="A40" s="24"/>
    </row>
    <row r="41" spans="1:1" s="8" customFormat="1">
      <c r="A41" s="24"/>
    </row>
    <row r="42" spans="1:1" s="8" customFormat="1">
      <c r="A42" s="24"/>
    </row>
    <row r="43" spans="1:1" s="8" customFormat="1">
      <c r="A43" s="24"/>
    </row>
    <row r="44" spans="1:1" s="8" customFormat="1">
      <c r="A44" s="24"/>
    </row>
    <row r="45" spans="1:1" s="8" customFormat="1">
      <c r="A45" s="24"/>
    </row>
    <row r="46" spans="1:1" s="8" customFormat="1">
      <c r="A46" s="24"/>
    </row>
    <row r="47" spans="1:1" s="8" customFormat="1">
      <c r="A47" s="24"/>
    </row>
    <row r="48" spans="1:1" s="8" customFormat="1">
      <c r="A48" s="24"/>
    </row>
    <row r="49" spans="1:1" s="8" customFormat="1">
      <c r="A49" s="24"/>
    </row>
    <row r="50" spans="1:1" s="8" customFormat="1">
      <c r="A50" s="24"/>
    </row>
    <row r="51" spans="1:1" s="8" customFormat="1">
      <c r="A51" s="24"/>
    </row>
    <row r="52" spans="1:1" s="8" customFormat="1">
      <c r="A52" s="24"/>
    </row>
    <row r="53" spans="1:1" s="8" customFormat="1">
      <c r="A53" s="24"/>
    </row>
    <row r="54" spans="1:1" s="8" customFormat="1">
      <c r="A54" s="24"/>
    </row>
    <row r="55" spans="1:1" s="8" customFormat="1">
      <c r="A55" s="24"/>
    </row>
    <row r="56" spans="1:1" s="8" customFormat="1">
      <c r="A56" s="24"/>
    </row>
    <row r="57" spans="1:1" s="8" customFormat="1">
      <c r="A57" s="24"/>
    </row>
    <row r="58" spans="1:1" s="8" customFormat="1">
      <c r="A58" s="24"/>
    </row>
    <row r="59" spans="1:1" s="8" customFormat="1">
      <c r="A59" s="24"/>
    </row>
    <row r="60" spans="1:1" s="8" customFormat="1">
      <c r="A60" s="24"/>
    </row>
    <row r="61" spans="1:1" s="8" customFormat="1">
      <c r="A61" s="24"/>
    </row>
    <row r="62" spans="1:1" s="8" customFormat="1">
      <c r="A62" s="24"/>
    </row>
    <row r="63" spans="1:1" s="8" customFormat="1">
      <c r="A63" s="24"/>
    </row>
    <row r="64" spans="1:1" s="8" customFormat="1">
      <c r="A64" s="24"/>
    </row>
    <row r="65" spans="1:1" s="8" customFormat="1">
      <c r="A65" s="24"/>
    </row>
    <row r="66" spans="1:1" s="8" customFormat="1">
      <c r="A66" s="24"/>
    </row>
    <row r="67" spans="1:1" s="8" customFormat="1">
      <c r="A67" s="24"/>
    </row>
    <row r="68" spans="1:1" s="8" customFormat="1">
      <c r="A68" s="24"/>
    </row>
    <row r="69" spans="1:1" s="8" customFormat="1">
      <c r="A69" s="24"/>
    </row>
    <row r="70" spans="1:1" s="8" customFormat="1">
      <c r="A70" s="24"/>
    </row>
    <row r="71" spans="1:1" s="8" customFormat="1">
      <c r="A71" s="24"/>
    </row>
    <row r="72" spans="1:1" s="8" customFormat="1">
      <c r="A72" s="24"/>
    </row>
    <row r="73" spans="1:1" s="8" customFormat="1">
      <c r="A73" s="24"/>
    </row>
    <row r="74" spans="1:1" s="8" customFormat="1">
      <c r="A74" s="24"/>
    </row>
    <row r="75" spans="1:1" s="8" customFormat="1">
      <c r="A75" s="24"/>
    </row>
    <row r="76" spans="1:1" s="8" customFormat="1">
      <c r="A76" s="24"/>
    </row>
    <row r="77" spans="1:1" s="8" customFormat="1">
      <c r="A77" s="24"/>
    </row>
    <row r="78" spans="1:1" s="8" customFormat="1">
      <c r="A78" s="24"/>
    </row>
    <row r="79" spans="1:1" s="8" customFormat="1">
      <c r="A79" s="24"/>
    </row>
    <row r="80" spans="1:1" s="8" customFormat="1">
      <c r="A80" s="24"/>
    </row>
    <row r="81" spans="1:1" s="8" customFormat="1">
      <c r="A81" s="24"/>
    </row>
    <row r="82" spans="1:1" s="8" customFormat="1">
      <c r="A82" s="24"/>
    </row>
    <row r="83" spans="1:1" s="8" customFormat="1">
      <c r="A83" s="24"/>
    </row>
    <row r="84" spans="1:1" s="8" customFormat="1">
      <c r="A84" s="24"/>
    </row>
    <row r="85" spans="1:1" s="8" customFormat="1">
      <c r="A85" s="24"/>
    </row>
    <row r="86" spans="1:1" s="8" customFormat="1">
      <c r="A86" s="24"/>
    </row>
    <row r="87" spans="1:1" s="8" customFormat="1">
      <c r="A87" s="24"/>
    </row>
    <row r="88" spans="1:1" s="8" customFormat="1">
      <c r="A88" s="24"/>
    </row>
    <row r="89" spans="1:1" s="8" customFormat="1">
      <c r="A89" s="24"/>
    </row>
    <row r="90" spans="1:1" s="8" customFormat="1">
      <c r="A90" s="24"/>
    </row>
    <row r="91" spans="1:1" s="8" customFormat="1">
      <c r="A91" s="24"/>
    </row>
    <row r="92" spans="1:1" s="8" customFormat="1">
      <c r="A92" s="24"/>
    </row>
    <row r="93" spans="1:1" s="8" customFormat="1">
      <c r="A93" s="24"/>
    </row>
    <row r="94" spans="1:1" s="8" customFormat="1">
      <c r="A94" s="24"/>
    </row>
    <row r="95" spans="1:1" s="8" customFormat="1">
      <c r="A95" s="24"/>
    </row>
    <row r="96" spans="1:1" s="8" customFormat="1">
      <c r="A96" s="24"/>
    </row>
    <row r="97" spans="1:1" s="8" customFormat="1">
      <c r="A97" s="24"/>
    </row>
    <row r="98" spans="1:1" s="8" customFormat="1">
      <c r="A98" s="24"/>
    </row>
    <row r="99" spans="1:1" s="8" customFormat="1">
      <c r="A99" s="24"/>
    </row>
    <row r="100" spans="1:1" s="8" customFormat="1">
      <c r="A100" s="24"/>
    </row>
    <row r="101" spans="1:1" s="8" customFormat="1">
      <c r="A101" s="24"/>
    </row>
    <row r="102" spans="1:1" s="8" customFormat="1">
      <c r="A102" s="24"/>
    </row>
    <row r="103" spans="1:1" s="8" customFormat="1">
      <c r="A103" s="24"/>
    </row>
    <row r="104" spans="1:1" s="8" customFormat="1">
      <c r="A104" s="24"/>
    </row>
    <row r="105" spans="1:1" s="8" customFormat="1">
      <c r="A105" s="24"/>
    </row>
    <row r="106" spans="1:1" s="8" customFormat="1">
      <c r="A106" s="24"/>
    </row>
    <row r="107" spans="1:1" s="8" customFormat="1">
      <c r="A107" s="24"/>
    </row>
    <row r="108" spans="1:1" s="8" customFormat="1">
      <c r="A108" s="24"/>
    </row>
    <row r="109" spans="1:1" s="8" customFormat="1">
      <c r="A109" s="24"/>
    </row>
    <row r="110" spans="1:1" s="8" customFormat="1">
      <c r="A110" s="24"/>
    </row>
    <row r="111" spans="1:1" s="8" customFormat="1">
      <c r="A111" s="24"/>
    </row>
    <row r="112" spans="1:1" s="8" customFormat="1">
      <c r="A112" s="24"/>
    </row>
    <row r="113" spans="1:1" s="8" customFormat="1">
      <c r="A113" s="24"/>
    </row>
    <row r="114" spans="1:1" s="8" customFormat="1">
      <c r="A114" s="24"/>
    </row>
    <row r="115" spans="1:1" s="8" customFormat="1">
      <c r="A115" s="24"/>
    </row>
    <row r="116" spans="1:1" s="8" customFormat="1">
      <c r="A116" s="24"/>
    </row>
    <row r="117" spans="1:1" s="8" customFormat="1">
      <c r="A117" s="24"/>
    </row>
    <row r="118" spans="1:1" s="8" customFormat="1">
      <c r="A118" s="24"/>
    </row>
    <row r="119" spans="1:1" s="8" customFormat="1">
      <c r="A119" s="24"/>
    </row>
    <row r="120" spans="1:1" s="8" customFormat="1">
      <c r="A120" s="24"/>
    </row>
    <row r="121" spans="1:1" s="8" customFormat="1">
      <c r="A121" s="24"/>
    </row>
    <row r="122" spans="1:1" s="8" customFormat="1">
      <c r="A122" s="24"/>
    </row>
    <row r="123" spans="1:1" s="8" customFormat="1">
      <c r="A123" s="24"/>
    </row>
    <row r="124" spans="1:1" s="8" customFormat="1">
      <c r="A124" s="24"/>
    </row>
    <row r="125" spans="1:1" s="8" customFormat="1">
      <c r="A125" s="24"/>
    </row>
    <row r="126" spans="1:1" s="8" customFormat="1">
      <c r="A126" s="24"/>
    </row>
    <row r="127" spans="1:1" s="8" customFormat="1">
      <c r="A127" s="24"/>
    </row>
    <row r="128" spans="1:1" s="8" customFormat="1">
      <c r="A128" s="24"/>
    </row>
    <row r="129" spans="1:1" s="8" customFormat="1">
      <c r="A129" s="24"/>
    </row>
    <row r="130" spans="1:1" s="8" customFormat="1">
      <c r="A130" s="24"/>
    </row>
    <row r="131" spans="1:1" s="8" customFormat="1">
      <c r="A131" s="24"/>
    </row>
    <row r="132" spans="1:1" s="8" customFormat="1">
      <c r="A132" s="24"/>
    </row>
    <row r="133" spans="1:1" s="8" customFormat="1">
      <c r="A133" s="24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Uteis</vt:lpstr>
      <vt:lpstr>base</vt:lpstr>
      <vt:lpstr>cálculo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joao paulo</cp:lastModifiedBy>
  <dcterms:created xsi:type="dcterms:W3CDTF">2024-09-27T18:00:58Z</dcterms:created>
  <dcterms:modified xsi:type="dcterms:W3CDTF">2025-11-25T22:30:27Z</dcterms:modified>
</cp:coreProperties>
</file>